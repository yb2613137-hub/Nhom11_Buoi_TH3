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2" activeTab="5"/>
  </bookViews>
  <sheets>
    <sheet name="Tonghopdiem" sheetId="1" r:id="rId1"/>
    <sheet name="Diemthuchanhcacbuoi" sheetId="2" r:id="rId2"/>
    <sheet name="Diembaitaplon" sheetId="3" r:id="rId3"/>
    <sheet name="Diemlithuyet" sheetId="4" r:id="rId4"/>
    <sheet name="Cacbangthamchieu&amp;thongke" sheetId="5" r:id="rId5"/>
    <sheet name="Sinhviendiem&lt;7" sheetId="7" r:id="rId6"/>
    <sheet name="Sinhviendiem&gt;7" sheetId="8" r:id="rId7"/>
  </sheets>
  <definedNames>
    <definedName name="_xlnm._FilterDatabase" localSheetId="0" hidden="1">Tonghopdiem!$B$7:$L$21</definedName>
    <definedName name="_xlnm.Criteria" localSheetId="0">Tonghopdiem!$B$7:$L$21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<sst xmlns="http://schemas.openxmlformats.org/spreadsheetml/2006/main" count="278" uniqueCount="99">
  <si>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</si>
  <si>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</si>
  <si>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</si>
  <si>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</si>
  <si>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</si>
  <si>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</si>
  <si>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</si>
  <si>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</si>
  <si>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</si>
  <si>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</si>
  <si>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</si>
  <si>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ĐIỂM THI HK1-2018-2019</t>
  </si>
  <si>
    <t>Ma CB</t>
  </si>
  <si>
    <t>Ho va ten</t>
  </si>
  <si>
    <t>Nguyễn Minh Trung</t>
  </si>
  <si>
    <t>Ma MH</t>
  </si>
  <si>
    <t>CT428</t>
  </si>
  <si>
    <t>Ma NH</t>
  </si>
  <si>
    <t>Nam hoc</t>
  </si>
  <si>
    <t>2020-2021</t>
  </si>
  <si>
    <t>Hoc ky</t>
  </si>
  <si>
    <t>S                T                T</t>
  </si>
  <si>
    <t>Mã SV</t>
  </si>
  <si>
    <t>Họ và Tên</t>
  </si>
  <si>
    <t>Điểm        TH 1</t>
  </si>
  <si>
    <t>Điểm     TH 2</t>
  </si>
  <si>
    <t>Điểm     TH 3</t>
  </si>
  <si>
    <t>Điểm BT lớn</t>
  </si>
  <si>
    <t>Điểm      LT</t>
  </si>
  <si>
    <t>Điểm     tổng</t>
  </si>
  <si>
    <t>Điểm    theo    thang   điểm      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</si>
  <si>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</si>
  <si>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</si>
  <si>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</si>
  <si>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</si>
  <si>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</si>
  <si>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</si>
  <si>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</si>
  <si>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</si>
  <si>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</si>
  <si>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</si>
  <si>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</si>
  <si>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</si>
  <si>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</si>
  <si>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</si>
  <si>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</si>
  <si>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</si>
  <si>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STT</t>
  </si>
  <si>
    <t>Họ và tên</t>
  </si>
  <si>
    <t>Điểm TH 1</t>
  </si>
  <si>
    <t>Điểm TH 2</t>
  </si>
  <si>
    <t>Điểm TH 3</t>
  </si>
  <si>
    <t>B1505719</t>
  </si>
  <si>
    <t>Nguyễn Văn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</si>
  <si>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</si>
  <si>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</si>
  <si>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</si>
  <si>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</si>
  <si>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</si>
  <si>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</si>
  <si>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</si>
  <si>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</si>
  <si>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</si>
  <si>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</t>
  </si>
  <si>
    <t>B1605249</t>
  </si>
  <si>
    <t>Lê Minh Thông</t>
  </si>
  <si>
    <t>B1605285</t>
  </si>
  <si>
    <t>Huỳnh Thị Diễm</t>
  </si>
  <si>
    <t>B1605291</t>
  </si>
  <si>
    <t>Trần Thanh Nguyên</t>
  </si>
  <si>
    <t>B1605344</t>
  </si>
  <si>
    <t>Nguyễn Thị Đào</t>
  </si>
  <si>
    <t>B1607025</t>
  </si>
  <si>
    <t>Nguyễn Chí Thanh</t>
  </si>
  <si>
    <t>B1609759</t>
  </si>
  <si>
    <t>Nguyễn Hải Anh</t>
  </si>
  <si>
    <t>B1609765</t>
  </si>
  <si>
    <t>Trần Nam Dương</t>
  </si>
  <si>
    <t>B1609773</t>
  </si>
  <si>
    <t>Nguyễn Duy Khanh</t>
  </si>
  <si>
    <t>Điểm bài tập lớn</t>
  </si>
  <si>
    <t>Điểm lý thuyết</t>
  </si>
  <si>
    <t>Bảng quy đổi điểm</t>
  </si>
  <si>
    <t>Bảng điểm chuyên cần</t>
  </si>
  <si>
    <t>Điểm theo thang điểm 10</t>
  </si>
  <si>
    <t>Điểm theo thang điểm 4</t>
  </si>
  <si>
    <t>Số buổi vắng</t>
  </si>
  <si>
    <t>Điểm CT</t>
  </si>
  <si>
    <t>D+</t>
  </si>
  <si>
    <t>C+</t>
  </si>
  <si>
    <t>B+</t>
  </si>
  <si>
    <t>Danh sách Sinh Viên</t>
  </si>
  <si>
    <t>Bảng thống kê theo điểm chữ</t>
  </si>
  <si>
    <t>Số lượng sinh viên</t>
  </si>
  <si>
    <t>Bảng thống kê SV</t>
  </si>
  <si>
    <t>Số sinh viên điểm BT lớn = 0 hoặc điểm LT = -3</t>
  </si>
  <si>
    <t>Số SV nghĩ TH &gt; 2</t>
  </si>
  <si>
    <t>Điểm LT</t>
  </si>
  <si>
    <t>Điểm tổng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</si>
</sst>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9">
    <font>
      <sz val="13"/>
      <color theme="1"/>
      <name val="Times New Roman"/>
      <charset val="134"/>
    </font>
    <font>
      <b/>
      <sz val="11"/>
      <name val="Times New Roman"/>
      <charset val="134"/>
    </font>
    <font>
      <sz val="13"/>
      <name val="Times New Roman"/>
      <charset val="134"/>
    </font>
    <font>
      <sz val="13"/>
      <color theme="4" tint="-0.249977111117893"/>
      <name val="Times New Roman"/>
      <charset val="134"/>
    </font>
    <font>
      <sz val="13"/>
      <color theme="4" tint="-0.499984740745262"/>
      <name val="Times New Roman"/>
      <charset val="134"/>
    </font>
    <font>
      <b/>
      <sz val="13"/>
      <color theme="4" tint="-0.499984740745262"/>
      <name val="Times New Roman"/>
      <charset val="134"/>
    </font>
    <font>
      <sz val="13"/>
      <color theme="4" tint="-0.499984740745262"/>
      <name val="Times New Roman"/>
      <charset val="134"/>
    </font>
    <font>
      <b/>
      <sz val="13"/>
      <color theme="1"/>
      <name val="Times New Roman"/>
      <charset val="134"/>
    </font>
    <font>
      <sz val="13"/>
      <color rgb="FFE40D0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3"/>
      <color rgb="FF9C0006"/>
      <name val="Times New Roman"/>
      <charset val="134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EB4A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13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/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vertical="center"/>
    </xf>
    <xf numFmtId="178" fontId="2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8" fillId="5" borderId="1" xfId="23" applyFont="1" applyFill="1" applyBorder="1"/>
    <xf numFmtId="0" fontId="8" fillId="5" borderId="1" xfId="23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strike val="0"/>
        <u val="none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CD0E9"/>
      <color rgb="00F3541A"/>
      <color rgb="00E40D08"/>
      <color rgb="00FF7C80"/>
      <color rgb="00FEB4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'Cacbangthamchieu&amp;thongke'!$G$17</c:f>
              <c:strCache>
                <c:ptCount val="1"/>
                <c:pt idx="0">
                  <c:v>Số lượng sinh viên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'Cacbangthamchieu&amp;thongke'!$F$18:$F$25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'Cacbangthamchieu&amp;thongke'!$G$18:$G$25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34f0dc-700b-4ac8-bba7-3afe5714299a}"/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17</xdr:row>
      <xdr:rowOff>205740</xdr:rowOff>
    </xdr:from>
    <xdr:to>
      <xdr:col>14</xdr:col>
      <xdr:colOff>182880</xdr:colOff>
      <xdr:row>30</xdr:row>
      <xdr:rowOff>209550</xdr:rowOff>
    </xdr:to>
    <xdr:graphicFrame>
      <xdr:nvGraphicFramePr>
        <xdr:cNvPr id="2" name="Chart 1"/>
        <xdr:cNvGraphicFramePr/>
      </xdr:nvGraphicFramePr>
      <xdr:xfrm>
        <a:off x="8679180" y="4046220"/>
        <a:ext cx="4709160" cy="2777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c_Duoi7" displayName="Loc_Duoi7" ref="A1:K12" totalsRowShown="0">
  <tableColumns count="11">
    <tableColumn id="1" name="STT" dataDxfId="0"/>
    <tableColumn id="2" name="Mã SV" dataDxfId="1"/>
    <tableColumn id="3" name="Họ và Tên" dataDxfId="2"/>
    <tableColumn id="4" name="Điểm TH 1" dataDxfId="3"/>
    <tableColumn id="5" name="Điểm TH 2" dataDxfId="4"/>
    <tableColumn id="6" name="Điểm TH 3" dataDxfId="5"/>
    <tableColumn id="7" name="Điểm BT lớn" dataDxfId="6"/>
    <tableColumn id="8" name="Điểm LT" dataDxfId="7"/>
    <tableColumn id="9" name="Điểm tổng" dataDxfId="8"/>
    <tableColumn id="10" name="Điểm theo thang điểm 10" dataDxfId="9"/>
    <tableColumn id="11" name="Điểm chữ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oc_Tu7" displayName="Loc_Tu7" ref="A1:K2" totalsRowShown="0">
  <tableColumns count="11">
    <tableColumn id="1" name="STT" dataDxfId="11"/>
    <tableColumn id="2" name="Mã SV" dataDxfId="12"/>
    <tableColumn id="3" name="Họ và Tên" dataDxfId="13"/>
    <tableColumn id="4" name="Điểm TH 1" dataDxfId="14"/>
    <tableColumn id="5" name="Điểm TH 2" dataDxfId="15"/>
    <tableColumn id="6" name="Điểm TH 3" dataDxfId="16"/>
    <tableColumn id="7" name="Điểm BT lớn" dataDxfId="17"/>
    <tableColumn id="8" name="Điểm LT" dataDxfId="18"/>
    <tableColumn id="9" name="Điểm tổng" dataDxfId="19"/>
    <tableColumn id="10" name="Điểm theo thang điểm 10" dataDxfId="20"/>
    <tableColumn id="11" name="Điểm chữ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15" zoomScaleNormal="115" workbookViewId="0">
      <pane xSplit="1" ySplit="7" topLeftCell="B16" activePane="bottomRight" state="frozen"/>
      <selection/>
      <selection pane="topRight"/>
      <selection pane="bottomLeft"/>
      <selection pane="bottomRight" activeCell="J25" sqref="J25"/>
    </sheetView>
  </sheetViews>
  <sheetFormatPr defaultColWidth="9" defaultRowHeight="16.8"/>
  <cols>
    <col min="1" max="1" width="3.18181818181818" customWidth="1"/>
    <col min="2" max="2" width="4.63636363636364" customWidth="1"/>
    <col min="3" max="3" width="11.6363636363636" customWidth="1"/>
    <col min="4" max="4" width="17" customWidth="1"/>
    <col min="5" max="5" width="10" customWidth="1"/>
  </cols>
  <sheetData>
    <row r="1" spans="1:12">
      <c r="A1" s="30"/>
      <c r="B1" s="30" t="s">
        <v>0</v>
      </c>
      <c r="C1" s="31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</row>
    <row r="2" spans="1:12">
      <c r="A2" s="30">
        <v>1</v>
      </c>
      <c r="B2" s="6"/>
      <c r="C2" s="32" t="s">
        <v>11</v>
      </c>
      <c r="D2" s="33"/>
      <c r="E2" s="33"/>
      <c r="F2" s="33"/>
      <c r="G2" s="33"/>
      <c r="H2" s="33"/>
      <c r="I2" s="34"/>
      <c r="J2" s="6"/>
      <c r="K2" s="6"/>
      <c r="L2" s="6"/>
    </row>
    <row r="3" spans="1:12">
      <c r="A3" s="30">
        <v>2</v>
      </c>
      <c r="B3" s="6"/>
      <c r="C3" s="6" t="s">
        <v>12</v>
      </c>
      <c r="D3" s="35">
        <v>1043</v>
      </c>
      <c r="E3" s="36" t="s">
        <v>13</v>
      </c>
      <c r="F3" s="37"/>
      <c r="G3" s="36" t="s">
        <v>14</v>
      </c>
      <c r="H3" s="38"/>
      <c r="I3" s="37"/>
      <c r="J3" s="6"/>
      <c r="K3" s="6"/>
      <c r="L3" s="6"/>
    </row>
    <row r="4" spans="1:12">
      <c r="A4" s="30">
        <v>3</v>
      </c>
      <c r="B4" s="6"/>
      <c r="C4" s="6" t="s">
        <v>15</v>
      </c>
      <c r="D4" s="35" t="s">
        <v>16</v>
      </c>
      <c r="E4" s="36" t="s">
        <v>17</v>
      </c>
      <c r="F4" s="37"/>
      <c r="G4" s="36">
        <v>8</v>
      </c>
      <c r="H4" s="38"/>
      <c r="I4" s="37"/>
      <c r="J4" s="6"/>
      <c r="K4" s="6"/>
      <c r="L4" s="6"/>
    </row>
    <row r="5" spans="1:12">
      <c r="A5" s="30">
        <v>4</v>
      </c>
      <c r="B5" s="6"/>
      <c r="C5" s="6" t="s">
        <v>18</v>
      </c>
      <c r="D5" s="35" t="s">
        <v>19</v>
      </c>
      <c r="E5" s="36" t="s">
        <v>20</v>
      </c>
      <c r="F5" s="37"/>
      <c r="G5" s="36">
        <v>1</v>
      </c>
      <c r="H5" s="38"/>
      <c r="I5" s="37"/>
      <c r="J5" s="6"/>
      <c r="K5" s="6"/>
      <c r="L5" s="6"/>
    </row>
    <row r="6" spans="1:12">
      <c r="A6" s="30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ht="89.25" customHeight="1" spans="1:12">
      <c r="A7" s="30">
        <v>6</v>
      </c>
      <c r="B7" s="39" t="s">
        <v>21</v>
      </c>
      <c r="C7" s="40" t="s">
        <v>22</v>
      </c>
      <c r="D7" s="39" t="s">
        <v>23</v>
      </c>
      <c r="E7" s="39" t="s">
        <v>24</v>
      </c>
      <c r="F7" s="39" t="s">
        <v>25</v>
      </c>
      <c r="G7" s="39" t="s">
        <v>26</v>
      </c>
      <c r="H7" s="39" t="s">
        <v>27</v>
      </c>
      <c r="I7" s="39" t="s">
        <v>28</v>
      </c>
      <c r="J7" s="39" t="s">
        <v>29</v>
      </c>
      <c r="K7" s="39" t="s">
        <v>30</v>
      </c>
      <c r="L7" s="39" t="s">
        <v>31</v>
      </c>
    </row>
    <row r="8" spans="1:12">
      <c r="A8" s="30">
        <v>7</v>
      </c>
      <c r="B8" s="6">
        <v>1</v>
      </c>
      <c r="C8" s="6" t="s">
        <v>32</v>
      </c>
      <c r="D8" s="6" t="str">
        <f>VLOOKUP(RIGHT(Tonghopdiem!C8,8),'Cacbangthamchieu&amp;thongke'!$C$18:$D$31,2,0)</f>
        <v>Nguyễn Văn Hiếu</v>
      </c>
      <c r="E8" s="6">
        <f>VLOOKUP(RIGHT(C8,8),Diemthuchanhcacbuoi!$B$3:$D$16,3,0)</f>
        <v>0.45</v>
      </c>
      <c r="F8" s="6">
        <f>VLOOKUP(RIGHT(C8,8),Diemthuchanhcacbuoi!$B$3:$E$16,4,0)</f>
        <v>0.25</v>
      </c>
      <c r="G8" s="6">
        <f>VLOOKUP(RIGHT(C8,8),Diemthuchanhcacbuoi!$B$3:$F$16,5,0)</f>
        <v>0.3</v>
      </c>
      <c r="H8" s="6">
        <f>VLOOKUP(RIGHT(C8,8),Diembaitaplon!$B$3:$D$16,3,0)</f>
        <v>0.5</v>
      </c>
      <c r="I8" s="6">
        <f>VLOOKUP(RIGHT(C8,8),Diemlithuyet!$B$3:$D$16,3,0)</f>
        <v>4.2</v>
      </c>
      <c r="J8" s="6">
        <f>IF(I8=-3,0,E8+F8+G8+H8+0.6*I8)</f>
        <v>4.02</v>
      </c>
      <c r="K8" s="41">
        <f>IF(OR(H8=0,VALUE(LEFT(C8,1))&gt;2),0,ROUND(J8+VLOOKUP(VALUE(LEFT(Tonghopdiem!C8,1)),'Cacbangthamchieu&amp;thongke'!$F$4:$G$6,2,FALSE),1))</f>
        <v>5</v>
      </c>
      <c r="L8" s="42" t="str">
        <f>VLOOKUP(K8,'Cacbangthamchieu&amp;thongke'!$B$4:$C$11,2,TRUE)</f>
        <v>D+</v>
      </c>
    </row>
    <row r="9" spans="1:12">
      <c r="A9" s="30">
        <v>8</v>
      </c>
      <c r="B9" s="6">
        <v>2</v>
      </c>
      <c r="C9" s="6" t="s">
        <v>33</v>
      </c>
      <c r="D9" s="6" t="str">
        <f>VLOOKUP(RIGHT(Tonghopdiem!C9,8),'Cacbangthamchieu&amp;thongke'!$C$18:$D$31,2,0)</f>
        <v>Lý Minh Trí</v>
      </c>
      <c r="E9" s="6">
        <f>VLOOKUP(RIGHT(C9,8),Diemthuchanhcacbuoi!$B$3:$D$16,3,0)</f>
        <v>0.5</v>
      </c>
      <c r="F9" s="6">
        <f>VLOOKUP(RIGHT(C9,8),Diemthuchanhcacbuoi!$B$3:$E$16,4,0)</f>
        <v>0.35</v>
      </c>
      <c r="G9" s="6">
        <f>VLOOKUP(RIGHT(C9,8),Diemthuchanhcacbuoi!$B$3:$F$16,5,0)</f>
        <v>0.4</v>
      </c>
      <c r="H9" s="6">
        <f>VLOOKUP(RIGHT(C9,8),Diembaitaplon!$B$3:$D$16,3,0)</f>
        <v>1</v>
      </c>
      <c r="I9" s="6">
        <f>VLOOKUP(RIGHT(C9,8),Diemlithuyet!$B$3:$D$16,3,0)</f>
        <v>5.8</v>
      </c>
      <c r="J9" s="6">
        <f t="shared" ref="J9:J21" si="0">IF(I9=-3,0,E9+F9+G9+H9+0.6*I9)</f>
        <v>5.73</v>
      </c>
      <c r="K9" s="41">
        <f>IF(OR(H9=0,VALUE(LEFT(C9,1))&gt;2),0,ROUND(J9+VLOOKUP(VALUE(LEFT(Tonghopdiem!C9,1)),'Cacbangthamchieu&amp;thongke'!$F$4:$G$6,2,FALSE),1))</f>
        <v>6.2</v>
      </c>
      <c r="L9" s="42" t="str">
        <f>VLOOKUP(K9,'Cacbangthamchieu&amp;thongke'!$B$4:$C$11,2,TRUE)</f>
        <v>C</v>
      </c>
    </row>
    <row r="10" spans="1:12">
      <c r="A10" s="30">
        <v>9</v>
      </c>
      <c r="B10" s="6">
        <v>3</v>
      </c>
      <c r="C10" s="6" t="s">
        <v>34</v>
      </c>
      <c r="D10" s="6" t="str">
        <f>VLOOKUP(RIGHT(Tonghopdiem!C10,8),'Cacbangthamchieu&amp;thongke'!$C$18:$D$31,2,0)</f>
        <v>Nguyễn Kiều Mi</v>
      </c>
      <c r="E10" s="6">
        <f>VLOOKUP(RIGHT(C10,8),Diemthuchanhcacbuoi!$B$3:$D$16,3,0)</f>
        <v>0.25</v>
      </c>
      <c r="F10" s="6">
        <f>VLOOKUP(RIGHT(C10,8),Diemthuchanhcacbuoi!$B$3:$E$16,4,0)</f>
        <v>0.25</v>
      </c>
      <c r="G10" s="6">
        <f>VLOOKUP(RIGHT(C10,8),Diemthuchanhcacbuoi!$B$3:$F$16,5,0)</f>
        <v>0.3</v>
      </c>
      <c r="H10" s="6">
        <f>VLOOKUP(RIGHT(C10,8),Diembaitaplon!$B$3:$D$16,3,0)</f>
        <v>0.5</v>
      </c>
      <c r="I10" s="6">
        <f>VLOOKUP(RIGHT(C10,8),Diemlithuyet!$B$3:$D$16,3,0)</f>
        <v>5.8</v>
      </c>
      <c r="J10" s="6">
        <f t="shared" si="0"/>
        <v>4.78</v>
      </c>
      <c r="K10" s="41">
        <f>IF(OR(H10=0,VALUE(LEFT(C10,1))&gt;2),0,ROUND(J10+VLOOKUP(VALUE(LEFT(Tonghopdiem!C10,1)),'Cacbangthamchieu&amp;thongke'!$F$4:$G$6,2,FALSE),1))</f>
        <v>5.8</v>
      </c>
      <c r="L10" s="42" t="str">
        <f>VLOOKUP(K10,'Cacbangthamchieu&amp;thongke'!$B$4:$C$11,2,TRUE)</f>
        <v>C</v>
      </c>
    </row>
    <row r="11" spans="1:12">
      <c r="A11" s="30">
        <v>10</v>
      </c>
      <c r="B11" s="6">
        <v>4</v>
      </c>
      <c r="C11" s="6" t="s">
        <v>35</v>
      </c>
      <c r="D11" s="6" t="str">
        <f>VLOOKUP(RIGHT(Tonghopdiem!C11,8),'Cacbangthamchieu&amp;thongke'!$C$18:$D$31,2,0)</f>
        <v>Đặng Duy Linh</v>
      </c>
      <c r="E11" s="6">
        <f>VLOOKUP(RIGHT(C11,8),Diemthuchanhcacbuoi!$B$3:$D$16,3,0)</f>
        <v>0.4</v>
      </c>
      <c r="F11" s="6">
        <f>VLOOKUP(RIGHT(C11,8),Diemthuchanhcacbuoi!$B$3:$E$16,4,0)</f>
        <v>0.25</v>
      </c>
      <c r="G11" s="6">
        <f>VLOOKUP(RIGHT(C11,8),Diemthuchanhcacbuoi!$B$3:$F$16,5,0)</f>
        <v>0.35</v>
      </c>
      <c r="H11" s="6">
        <f>VLOOKUP(RIGHT(C11,8),Diembaitaplon!$B$3:$D$16,3,0)</f>
        <v>1</v>
      </c>
      <c r="I11" s="6">
        <f>VLOOKUP(RIGHT(C11,8),Diemlithuyet!$B$3:$D$16,3,0)</f>
        <v>4.5</v>
      </c>
      <c r="J11" s="6">
        <f t="shared" si="0"/>
        <v>4.7</v>
      </c>
      <c r="K11" s="41">
        <f>IF(OR(H11=0,VALUE(LEFT(C11,1))&gt;2),0,ROUND(J11+VLOOKUP(VALUE(LEFT(Tonghopdiem!C11,1)),'Cacbangthamchieu&amp;thongke'!$F$4:$G$6,2,FALSE),1))</f>
        <v>5.7</v>
      </c>
      <c r="L11" s="42" t="str">
        <f>VLOOKUP(K11,'Cacbangthamchieu&amp;thongke'!$B$4:$C$11,2,TRUE)</f>
        <v>C</v>
      </c>
    </row>
    <row r="12" spans="1:12">
      <c r="A12" s="30">
        <v>11</v>
      </c>
      <c r="B12" s="6">
        <v>5</v>
      </c>
      <c r="C12" s="6" t="s">
        <v>36</v>
      </c>
      <c r="D12" s="6" t="str">
        <f>VLOOKUP(RIGHT(Tonghopdiem!C12,8),'Cacbangthamchieu&amp;thongke'!$C$18:$D$31,2,0)</f>
        <v>Lê Thị Trúc Linh</v>
      </c>
      <c r="E12" s="6">
        <f>VLOOKUP(RIGHT(C12,8),Diemthuchanhcacbuoi!$B$3:$D$16,3,0)</f>
        <v>0.45</v>
      </c>
      <c r="F12" s="6">
        <f>VLOOKUP(RIGHT(C12,8),Diemthuchanhcacbuoi!$B$3:$E$16,4,0)</f>
        <v>0.4</v>
      </c>
      <c r="G12" s="6">
        <f>VLOOKUP(RIGHT(C12,8),Diemthuchanhcacbuoi!$B$3:$F$16,5,0)</f>
        <v>0.35</v>
      </c>
      <c r="H12" s="6">
        <f>VLOOKUP(RIGHT(C12,8),Diembaitaplon!$B$3:$D$16,3,0)</f>
        <v>0.75</v>
      </c>
      <c r="I12" s="6">
        <f>VLOOKUP(RIGHT(C12,8),Diemlithuyet!$B$3:$D$16,3,0)</f>
        <v>5.5</v>
      </c>
      <c r="J12" s="6">
        <f t="shared" si="0"/>
        <v>5.25</v>
      </c>
      <c r="K12" s="41">
        <f>IF(OR(H12=0,VALUE(LEFT(C12,1))&gt;2),0,ROUND(J12+VLOOKUP(VALUE(LEFT(Tonghopdiem!C12,1)),'Cacbangthamchieu&amp;thongke'!$F$4:$G$6,2,FALSE),1))</f>
        <v>5.5</v>
      </c>
      <c r="L12" s="42" t="str">
        <f>VLOOKUP(K12,'Cacbangthamchieu&amp;thongke'!$B$4:$C$11,2,TRUE)</f>
        <v>C</v>
      </c>
    </row>
    <row r="13" spans="1:12">
      <c r="A13" s="30">
        <v>12</v>
      </c>
      <c r="B13" s="6">
        <v>6</v>
      </c>
      <c r="C13" s="6" t="s">
        <v>37</v>
      </c>
      <c r="D13" s="6" t="str">
        <f>VLOOKUP(RIGHT(Tonghopdiem!C13,8),'Cacbangthamchieu&amp;thongke'!$C$18:$D$31,2,0)</f>
        <v>Phạm Thị Huỳnh</v>
      </c>
      <c r="E13" s="6">
        <f>VLOOKUP(RIGHT(C13,8),Diemthuchanhcacbuoi!$B$3:$D$16,3,0)</f>
        <v>0.4</v>
      </c>
      <c r="F13" s="6">
        <f>VLOOKUP(RIGHT(C13,8),Diemthuchanhcacbuoi!$B$3:$E$16,4,0)</f>
        <v>0.45</v>
      </c>
      <c r="G13" s="6">
        <f>VLOOKUP(RIGHT(C13,8),Diemthuchanhcacbuoi!$B$3:$F$16,5,0)</f>
        <v>0.5</v>
      </c>
      <c r="H13" s="6">
        <f>VLOOKUP(RIGHT(C13,8),Diembaitaplon!$B$3:$D$16,3,0)</f>
        <v>1.2</v>
      </c>
      <c r="I13" s="6">
        <f>VLOOKUP(RIGHT(C13,8),Diemlithuyet!$B$3:$D$16,3,0)</f>
        <v>7.5</v>
      </c>
      <c r="J13" s="6">
        <f t="shared" si="0"/>
        <v>7.05</v>
      </c>
      <c r="K13" s="41">
        <f>IF(OR(H13=0,VALUE(LEFT(C13,1))&gt;2),0,ROUND(J13+VLOOKUP(VALUE(LEFT(Tonghopdiem!C13,1)),'Cacbangthamchieu&amp;thongke'!$F$4:$G$6,2,FALSE),1))</f>
        <v>8.1</v>
      </c>
      <c r="L13" s="42" t="str">
        <f>VLOOKUP(K13,'Cacbangthamchieu&amp;thongke'!$B$4:$C$11,2,TRUE)</f>
        <v>B+</v>
      </c>
    </row>
    <row r="14" spans="1:12">
      <c r="A14" s="30">
        <v>13</v>
      </c>
      <c r="B14" s="6">
        <v>7</v>
      </c>
      <c r="C14" s="6" t="s">
        <v>38</v>
      </c>
      <c r="D14" s="6" t="str">
        <f>VLOOKUP(RIGHT(Tonghopdiem!C14,8),'Cacbangthamchieu&amp;thongke'!$C$18:$D$31,2,0)</f>
        <v>Lê Minh Thông</v>
      </c>
      <c r="E14" s="6">
        <f>VLOOKUP(RIGHT(C14,8),Diemthuchanhcacbuoi!$B$3:$D$16,3,0)</f>
        <v>0.4</v>
      </c>
      <c r="F14" s="6">
        <f>VLOOKUP(RIGHT(C14,8),Diemthuchanhcacbuoi!$B$3:$E$16,4,0)</f>
        <v>0.4</v>
      </c>
      <c r="G14" s="6">
        <f>VLOOKUP(RIGHT(C14,8),Diemthuchanhcacbuoi!$B$3:$F$16,5,0)</f>
        <v>0.4</v>
      </c>
      <c r="H14" s="6">
        <f>VLOOKUP(RIGHT(C14,8),Diembaitaplon!$B$3:$D$16,3,0)</f>
        <v>1</v>
      </c>
      <c r="I14" s="6">
        <f>VLOOKUP(RIGHT(C14,8),Diemlithuyet!$B$3:$D$16,3,0)</f>
        <v>5.3</v>
      </c>
      <c r="J14" s="6">
        <f t="shared" si="0"/>
        <v>5.38</v>
      </c>
      <c r="K14" s="41">
        <f>IF(OR(H14=0,VALUE(LEFT(C14,1))&gt;2),0,ROUND(J14+VLOOKUP(VALUE(LEFT(Tonghopdiem!C14,1)),'Cacbangthamchieu&amp;thongke'!$F$4:$G$6,2,FALSE),1))</f>
        <v>6.4</v>
      </c>
      <c r="L14" s="42" t="str">
        <f>VLOOKUP(K14,'Cacbangthamchieu&amp;thongke'!$B$4:$C$11,2,TRUE)</f>
        <v>C</v>
      </c>
    </row>
    <row r="15" spans="1:12">
      <c r="A15" s="30">
        <v>14</v>
      </c>
      <c r="B15" s="6">
        <v>8</v>
      </c>
      <c r="C15" s="6" t="s">
        <v>39</v>
      </c>
      <c r="D15" s="6" t="str">
        <f>VLOOKUP(RIGHT(Tonghopdiem!C15,8),'Cacbangthamchieu&amp;thongke'!$C$18:$D$31,2,0)</f>
        <v>Huỳnh Thị Diễm</v>
      </c>
      <c r="E15" s="6">
        <f>VLOOKUP(RIGHT(C15,8),Diemthuchanhcacbuoi!$B$3:$D$16,3,0)</f>
        <v>0.45</v>
      </c>
      <c r="F15" s="6">
        <f>VLOOKUP(RIGHT(C15,8),Diemthuchanhcacbuoi!$B$3:$E$16,4,0)</f>
        <v>0.4</v>
      </c>
      <c r="G15" s="6">
        <f>VLOOKUP(RIGHT(C15,8),Diemthuchanhcacbuoi!$B$3:$F$16,5,0)</f>
        <v>0.45</v>
      </c>
      <c r="H15" s="6">
        <f>VLOOKUP(RIGHT(C15,8),Diembaitaplon!$B$3:$D$16,3,0)</f>
        <v>0</v>
      </c>
      <c r="I15" s="6">
        <f>VLOOKUP(RIGHT(C15,8),Diemlithuyet!$B$3:$D$16,3,0)</f>
        <v>6.8</v>
      </c>
      <c r="J15" s="6">
        <f t="shared" si="0"/>
        <v>5.38</v>
      </c>
      <c r="K15" s="41">
        <f>IF(OR(H15=0,VALUE(LEFT(C15,1))&gt;2),0,ROUND(J15+VLOOKUP(VALUE(LEFT(Tonghopdiem!C15,1)),'Cacbangthamchieu&amp;thongke'!$F$4:$G$6,2,FALSE),1))</f>
        <v>0</v>
      </c>
      <c r="L15" s="42" t="str">
        <f>VLOOKUP(K15,'Cacbangthamchieu&amp;thongke'!$B$4:$C$11,2,TRUE)</f>
        <v>F</v>
      </c>
    </row>
    <row r="16" spans="1:12">
      <c r="A16" s="30">
        <v>15</v>
      </c>
      <c r="B16" s="6">
        <v>9</v>
      </c>
      <c r="C16" s="6" t="s">
        <v>40</v>
      </c>
      <c r="D16" s="6" t="str">
        <f>VLOOKUP(RIGHT(Tonghopdiem!C16,8),'Cacbangthamchieu&amp;thongke'!$C$18:$D$31,2,0)</f>
        <v>Trần Thanh Nguyên</v>
      </c>
      <c r="E16" s="6">
        <f>VLOOKUP(RIGHT(C16,8),Diemthuchanhcacbuoi!$B$3:$D$16,3,0)</f>
        <v>0.45</v>
      </c>
      <c r="F16" s="6">
        <f>VLOOKUP(RIGHT(C16,8),Diemthuchanhcacbuoi!$B$3:$E$16,4,0)</f>
        <v>0.4</v>
      </c>
      <c r="G16" s="6">
        <f>VLOOKUP(RIGHT(C16,8),Diemthuchanhcacbuoi!$B$3:$F$16,5,0)</f>
        <v>0.4</v>
      </c>
      <c r="H16" s="6">
        <f>VLOOKUP(RIGHT(C16,8),Diembaitaplon!$B$3:$D$16,3,0)</f>
        <v>0.75</v>
      </c>
      <c r="I16" s="6">
        <f>VLOOKUP(RIGHT(C16,8),Diemlithuyet!$B$3:$D$16,3,0)</f>
        <v>6.3</v>
      </c>
      <c r="J16" s="6">
        <f t="shared" si="0"/>
        <v>5.78</v>
      </c>
      <c r="K16" s="41">
        <f>IF(OR(H16=0,VALUE(LEFT(C16,1))&gt;2),0,ROUND(J16+VLOOKUP(VALUE(LEFT(Tonghopdiem!C16,1)),'Cacbangthamchieu&amp;thongke'!$F$4:$G$6,2,FALSE),1))</f>
        <v>6.8</v>
      </c>
      <c r="L16" s="42" t="str">
        <f>VLOOKUP(K16,'Cacbangthamchieu&amp;thongke'!$B$4:$C$11,2,TRUE)</f>
        <v>C+</v>
      </c>
    </row>
    <row r="17" spans="1:12">
      <c r="A17" s="30">
        <v>16</v>
      </c>
      <c r="B17" s="6">
        <v>10</v>
      </c>
      <c r="C17" s="6" t="s">
        <v>41</v>
      </c>
      <c r="D17" s="6" t="str">
        <f>VLOOKUP(RIGHT(Tonghopdiem!C17,8),'Cacbangthamchieu&amp;thongke'!$C$18:$D$31,2,0)</f>
        <v>Nguyễn Thị Đào</v>
      </c>
      <c r="E17" s="6">
        <f>VLOOKUP(RIGHT(C17,8),Diemthuchanhcacbuoi!$B$3:$D$16,3,0)</f>
        <v>0.3</v>
      </c>
      <c r="F17" s="6">
        <f>VLOOKUP(RIGHT(C17,8),Diemthuchanhcacbuoi!$B$3:$E$16,4,0)</f>
        <v>0.5</v>
      </c>
      <c r="G17" s="6">
        <f>VLOOKUP(RIGHT(C17,8),Diemthuchanhcacbuoi!$B$3:$F$16,5,0)</f>
        <v>0.45</v>
      </c>
      <c r="H17" s="6">
        <f>VLOOKUP(RIGHT(C17,8),Diembaitaplon!$B$3:$D$16,3,0)</f>
        <v>0.3</v>
      </c>
      <c r="I17" s="6">
        <f>VLOOKUP(RIGHT(C17,8),Diemlithuyet!$B$3:$D$16,3,0)</f>
        <v>8.3</v>
      </c>
      <c r="J17" s="6">
        <f t="shared" si="0"/>
        <v>6.53</v>
      </c>
      <c r="K17" s="41">
        <f>IF(OR(H17=0,VALUE(LEFT(C17,1))&gt;2),0,ROUND(J17+VLOOKUP(VALUE(LEFT(Tonghopdiem!C17,1)),'Cacbangthamchieu&amp;thongke'!$F$4:$G$6,2,FALSE),1))</f>
        <v>7</v>
      </c>
      <c r="L17" s="42" t="str">
        <f>VLOOKUP(K17,'Cacbangthamchieu&amp;thongke'!$B$4:$C$11,2,TRUE)</f>
        <v>B+</v>
      </c>
    </row>
    <row r="18" spans="1:12">
      <c r="A18" s="30">
        <v>17</v>
      </c>
      <c r="B18" s="6">
        <v>11</v>
      </c>
      <c r="C18" s="6" t="s">
        <v>42</v>
      </c>
      <c r="D18" s="6" t="str">
        <f>VLOOKUP(RIGHT(Tonghopdiem!C18,8),'Cacbangthamchieu&amp;thongke'!$C$18:$D$31,2,0)</f>
        <v>Nguyễn Chí Thanh</v>
      </c>
      <c r="E18" s="6">
        <f>VLOOKUP(RIGHT(C18,8),Diemthuchanhcacbuoi!$B$3:$D$16,3,0)</f>
        <v>0.4</v>
      </c>
      <c r="F18" s="6">
        <f>VLOOKUP(RIGHT(C18,8),Diemthuchanhcacbuoi!$B$3:$E$16,4,0)</f>
        <v>0.45</v>
      </c>
      <c r="G18" s="6">
        <f>VLOOKUP(RIGHT(C18,8),Diemthuchanhcacbuoi!$B$3:$F$16,5,0)</f>
        <v>0.4</v>
      </c>
      <c r="H18" s="6">
        <f>VLOOKUP(RIGHT(C18,8),Diembaitaplon!$B$3:$D$16,3,0)</f>
        <v>0.3</v>
      </c>
      <c r="I18" s="6">
        <f>VLOOKUP(RIGHT(C18,8),Diemlithuyet!$B$3:$D$16,3,0)</f>
        <v>-3</v>
      </c>
      <c r="J18" s="6">
        <f t="shared" si="0"/>
        <v>0</v>
      </c>
      <c r="K18" s="41">
        <f>IF(OR(H18=0,VALUE(LEFT(C18,1))&gt;2),0,ROUND(J18+VLOOKUP(VALUE(LEFT(Tonghopdiem!C18,1)),'Cacbangthamchieu&amp;thongke'!$F$4:$G$6,2,FALSE),1))</f>
        <v>0</v>
      </c>
      <c r="L18" s="42" t="str">
        <f>VLOOKUP(K18,'Cacbangthamchieu&amp;thongke'!$B$4:$C$11,2,TRUE)</f>
        <v>F</v>
      </c>
    </row>
    <row r="19" spans="1:12">
      <c r="A19" s="30">
        <v>18</v>
      </c>
      <c r="B19" s="6">
        <v>12</v>
      </c>
      <c r="C19" s="6" t="s">
        <v>43</v>
      </c>
      <c r="D19" s="6" t="str">
        <f>VLOOKUP(RIGHT(Tonghopdiem!C19,8),'Cacbangthamchieu&amp;thongke'!$C$18:$D$31,2,0)</f>
        <v>Nguyễn Hải Anh</v>
      </c>
      <c r="E19" s="6">
        <f>VLOOKUP(RIGHT(C19,8),Diemthuchanhcacbuoi!$B$3:$D$16,3,0)</f>
        <v>0.5</v>
      </c>
      <c r="F19" s="6">
        <f>VLOOKUP(RIGHT(C19,8),Diemthuchanhcacbuoi!$B$3:$E$16,4,0)</f>
        <v>0.5</v>
      </c>
      <c r="G19" s="6">
        <f>VLOOKUP(RIGHT(C19,8),Diemthuchanhcacbuoi!$B$3:$F$16,5,0)</f>
        <v>0.45</v>
      </c>
      <c r="H19" s="6">
        <f>VLOOKUP(RIGHT(C19,8),Diembaitaplon!$B$3:$D$16,3,0)</f>
        <v>1.5</v>
      </c>
      <c r="I19" s="6">
        <f>VLOOKUP(RIGHT(C19,8),Diemlithuyet!$B$3:$D$16,3,0)</f>
        <v>7</v>
      </c>
      <c r="J19" s="6">
        <f t="shared" si="0"/>
        <v>7.15</v>
      </c>
      <c r="K19" s="41">
        <f>IF(OR(H19=0,VALUE(LEFT(C19,1))&gt;2),0,ROUND(J19+VLOOKUP(VALUE(LEFT(Tonghopdiem!C19,1)),'Cacbangthamchieu&amp;thongke'!$F$4:$G$6,2,FALSE),1))</f>
        <v>7.4</v>
      </c>
      <c r="L19" s="42" t="str">
        <f>VLOOKUP(K19,'Cacbangthamchieu&amp;thongke'!$B$4:$C$11,2,TRUE)</f>
        <v>B+</v>
      </c>
    </row>
    <row r="20" spans="1:12">
      <c r="A20" s="30">
        <v>19</v>
      </c>
      <c r="B20" s="6">
        <v>13</v>
      </c>
      <c r="C20" s="6" t="s">
        <v>44</v>
      </c>
      <c r="D20" s="6" t="str">
        <f>VLOOKUP(RIGHT(Tonghopdiem!C20,8),'Cacbangthamchieu&amp;thongke'!$C$18:$D$31,2,0)</f>
        <v>Trần Nam Dương</v>
      </c>
      <c r="E20" s="6">
        <f>VLOOKUP(RIGHT(C20,8),Diemthuchanhcacbuoi!$B$3:$D$16,3,0)</f>
        <v>0.4</v>
      </c>
      <c r="F20" s="6">
        <f>VLOOKUP(RIGHT(C20,8),Diemthuchanhcacbuoi!$B$3:$E$16,4,0)</f>
        <v>0.4</v>
      </c>
      <c r="G20" s="6">
        <f>VLOOKUP(RIGHT(C20,8),Diemthuchanhcacbuoi!$B$3:$F$16,5,0)</f>
        <v>0.35</v>
      </c>
      <c r="H20" s="6">
        <f>VLOOKUP(RIGHT(C20,8),Diembaitaplon!$B$3:$D$16,3,0)</f>
        <v>1.35</v>
      </c>
      <c r="I20" s="6">
        <f>VLOOKUP(RIGHT(C20,8),Diemlithuyet!$B$3:$D$16,3,0)</f>
        <v>-3</v>
      </c>
      <c r="J20" s="6">
        <f t="shared" si="0"/>
        <v>0</v>
      </c>
      <c r="K20" s="41">
        <f>IF(OR(H20=0,VALUE(LEFT(C20,1))&gt;2),0,ROUND(J20+VLOOKUP(VALUE(LEFT(Tonghopdiem!C20,1)),'Cacbangthamchieu&amp;thongke'!$F$4:$G$6,2,FALSE),1))</f>
        <v>0</v>
      </c>
      <c r="L20" s="42" t="str">
        <f>VLOOKUP(K20,'Cacbangthamchieu&amp;thongke'!$B$4:$C$11,2,TRUE)</f>
        <v>F</v>
      </c>
    </row>
    <row r="21" spans="1:12">
      <c r="A21" s="30">
        <v>20</v>
      </c>
      <c r="B21" s="6">
        <v>14</v>
      </c>
      <c r="C21" s="6" t="s">
        <v>45</v>
      </c>
      <c r="D21" s="6" t="str">
        <f>VLOOKUP(RIGHT(Tonghopdiem!C21,8),'Cacbangthamchieu&amp;thongke'!$C$18:$D$31,2,0)</f>
        <v>Nguyễn Duy Khanh</v>
      </c>
      <c r="E21" s="6">
        <f>VLOOKUP(RIGHT(C21,8),Diemthuchanhcacbuoi!$B$3:$D$16,3,0)</f>
        <v>0.35</v>
      </c>
      <c r="F21" s="6">
        <f>VLOOKUP(RIGHT(C21,8),Diemthuchanhcacbuoi!$B$3:$E$16,4,0)</f>
        <v>0.4</v>
      </c>
      <c r="G21" s="6">
        <f>VLOOKUP(RIGHT(C21,8),Diemthuchanhcacbuoi!$B$3:$F$16,5,0)</f>
        <v>0</v>
      </c>
      <c r="H21" s="6">
        <f>VLOOKUP(RIGHT(C21,8),Diembaitaplon!$B$3:$D$16,3,0)</f>
        <v>0.85</v>
      </c>
      <c r="I21" s="6">
        <f>VLOOKUP(RIGHT(C21,8),Diemlithuyet!$B$3:$D$16,3,0)</f>
        <v>6.5</v>
      </c>
      <c r="J21" s="6">
        <f t="shared" si="0"/>
        <v>5.5</v>
      </c>
      <c r="K21" s="41">
        <f>IF(OR(H21=0,VALUE(LEFT(C21,1))&gt;2),0,ROUND(J21+VLOOKUP(VALUE(LEFT(Tonghopdiem!C21,1)),'Cacbangthamchieu&amp;thongke'!$F$4:$G$6,2,FALSE),1))</f>
        <v>6.5</v>
      </c>
      <c r="L21" s="42" t="str">
        <f>VLOOKUP(K21,'Cacbangthamchieu&amp;thongke'!$B$4:$C$11,2,TRUE)</f>
        <v>C+</v>
      </c>
    </row>
  </sheetData>
  <mergeCells count="7">
    <mergeCell ref="C2:I2"/>
    <mergeCell ref="E3:F3"/>
    <mergeCell ref="G3:I3"/>
    <mergeCell ref="E4:F4"/>
    <mergeCell ref="G4:I4"/>
    <mergeCell ref="E5:F5"/>
    <mergeCell ref="G5:I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H7" sqref="H7"/>
    </sheetView>
  </sheetViews>
  <sheetFormatPr defaultColWidth="9" defaultRowHeight="16.8" outlineLevelCol="5"/>
  <cols>
    <col min="1" max="1" width="4.63636363636364" customWidth="1"/>
    <col min="2" max="2" width="9.81818181818182" customWidth="1"/>
    <col min="3" max="3" width="16.0909090909091" customWidth="1"/>
    <col min="4" max="5" width="10.4545454545455" customWidth="1"/>
    <col min="6" max="6" width="11.1818181818182" customWidth="1"/>
  </cols>
  <sheetData>
    <row r="1" spans="1:6">
      <c r="A1" s="28" t="s">
        <v>46</v>
      </c>
      <c r="B1" s="28"/>
      <c r="C1" s="28"/>
      <c r="D1" s="28"/>
      <c r="E1" s="28"/>
      <c r="F1" s="28"/>
    </row>
    <row r="2" spans="1:6">
      <c r="A2" s="29" t="s">
        <v>47</v>
      </c>
      <c r="B2" s="29" t="s">
        <v>22</v>
      </c>
      <c r="C2" s="29" t="s">
        <v>48</v>
      </c>
      <c r="D2" s="29" t="s">
        <v>49</v>
      </c>
      <c r="E2" s="29" t="s">
        <v>50</v>
      </c>
      <c r="F2" s="29" t="s">
        <v>51</v>
      </c>
    </row>
    <row r="3" spans="1:6">
      <c r="A3" s="17">
        <v>1</v>
      </c>
      <c r="B3" s="17" t="s">
        <v>52</v>
      </c>
      <c r="C3" s="6" t="s">
        <v>53</v>
      </c>
      <c r="D3" s="17">
        <v>0.45</v>
      </c>
      <c r="E3" s="17">
        <v>0.25</v>
      </c>
      <c r="F3" s="17">
        <v>0.3</v>
      </c>
    </row>
    <row r="4" spans="1:6">
      <c r="A4" s="17">
        <v>2</v>
      </c>
      <c r="B4" s="17" t="s">
        <v>54</v>
      </c>
      <c r="C4" s="6" t="s">
        <v>55</v>
      </c>
      <c r="D4" s="17">
        <v>0.5</v>
      </c>
      <c r="E4" s="17">
        <v>0.35</v>
      </c>
      <c r="F4" s="17">
        <v>0.4</v>
      </c>
    </row>
    <row r="5" spans="1:6">
      <c r="A5" s="17">
        <v>3</v>
      </c>
      <c r="B5" s="17" t="s">
        <v>56</v>
      </c>
      <c r="C5" s="6" t="s">
        <v>57</v>
      </c>
      <c r="D5" s="17">
        <v>0.25</v>
      </c>
      <c r="E5" s="17">
        <v>0.25</v>
      </c>
      <c r="F5" s="17">
        <v>0.3</v>
      </c>
    </row>
    <row r="6" spans="1:6">
      <c r="A6" s="17">
        <v>4</v>
      </c>
      <c r="B6" s="17" t="s">
        <v>58</v>
      </c>
      <c r="C6" s="6" t="s">
        <v>59</v>
      </c>
      <c r="D6" s="17">
        <v>0.4</v>
      </c>
      <c r="E6" s="17">
        <v>0.25</v>
      </c>
      <c r="F6" s="17">
        <v>0.35</v>
      </c>
    </row>
    <row r="7" spans="1:6">
      <c r="A7" s="17">
        <v>5</v>
      </c>
      <c r="B7" s="17" t="s">
        <v>60</v>
      </c>
      <c r="C7" s="6" t="s">
        <v>61</v>
      </c>
      <c r="D7" s="17">
        <v>0.45</v>
      </c>
      <c r="E7" s="17">
        <v>0.4</v>
      </c>
      <c r="F7" s="17">
        <v>0.35</v>
      </c>
    </row>
    <row r="8" spans="1:6">
      <c r="A8" s="17">
        <v>6</v>
      </c>
      <c r="B8" s="17" t="s">
        <v>62</v>
      </c>
      <c r="C8" s="6" t="s">
        <v>63</v>
      </c>
      <c r="D8" s="17">
        <v>0.4</v>
      </c>
      <c r="E8" s="17">
        <v>0.45</v>
      </c>
      <c r="F8" s="17">
        <v>0.5</v>
      </c>
    </row>
    <row r="9" spans="1:6">
      <c r="A9" s="17">
        <v>7</v>
      </c>
      <c r="B9" s="17" t="s">
        <v>64</v>
      </c>
      <c r="C9" s="6" t="s">
        <v>65</v>
      </c>
      <c r="D9" s="17">
        <v>0.4</v>
      </c>
      <c r="E9" s="17">
        <v>0.4</v>
      </c>
      <c r="F9" s="17">
        <v>0.4</v>
      </c>
    </row>
    <row r="10" spans="1:6">
      <c r="A10" s="17">
        <v>8</v>
      </c>
      <c r="B10" s="17" t="s">
        <v>66</v>
      </c>
      <c r="C10" s="6" t="s">
        <v>67</v>
      </c>
      <c r="D10" s="17">
        <v>0.45</v>
      </c>
      <c r="E10" s="17">
        <v>0.4</v>
      </c>
      <c r="F10" s="17">
        <v>0.45</v>
      </c>
    </row>
    <row r="11" spans="1:6">
      <c r="A11" s="17">
        <v>9</v>
      </c>
      <c r="B11" s="17" t="s">
        <v>68</v>
      </c>
      <c r="C11" s="6" t="s">
        <v>69</v>
      </c>
      <c r="D11" s="17">
        <v>0.45</v>
      </c>
      <c r="E11" s="17">
        <v>0.4</v>
      </c>
      <c r="F11" s="17">
        <v>0.4</v>
      </c>
    </row>
    <row r="12" spans="1:6">
      <c r="A12" s="17">
        <v>10</v>
      </c>
      <c r="B12" s="17" t="s">
        <v>70</v>
      </c>
      <c r="C12" s="6" t="s">
        <v>71</v>
      </c>
      <c r="D12" s="17">
        <v>0.3</v>
      </c>
      <c r="E12" s="17">
        <v>0.5</v>
      </c>
      <c r="F12" s="17">
        <v>0.45</v>
      </c>
    </row>
    <row r="13" spans="1:6">
      <c r="A13" s="17">
        <v>11</v>
      </c>
      <c r="B13" s="17" t="s">
        <v>72</v>
      </c>
      <c r="C13" s="6" t="s">
        <v>73</v>
      </c>
      <c r="D13" s="17">
        <v>0.4</v>
      </c>
      <c r="E13" s="17">
        <v>0.45</v>
      </c>
      <c r="F13" s="17">
        <v>0.4</v>
      </c>
    </row>
    <row r="14" spans="1:6">
      <c r="A14" s="17">
        <v>12</v>
      </c>
      <c r="B14" s="17" t="s">
        <v>74</v>
      </c>
      <c r="C14" s="6" t="s">
        <v>75</v>
      </c>
      <c r="D14" s="17">
        <v>0.5</v>
      </c>
      <c r="E14" s="17">
        <v>0.5</v>
      </c>
      <c r="F14" s="17">
        <v>0.45</v>
      </c>
    </row>
    <row r="15" spans="1:6">
      <c r="A15" s="17">
        <v>13</v>
      </c>
      <c r="B15" s="17" t="s">
        <v>76</v>
      </c>
      <c r="C15" s="6" t="s">
        <v>77</v>
      </c>
      <c r="D15" s="17">
        <v>0.4</v>
      </c>
      <c r="E15" s="17">
        <v>0.4</v>
      </c>
      <c r="F15" s="17">
        <v>0.35</v>
      </c>
    </row>
    <row r="16" spans="1:6">
      <c r="A16" s="17">
        <v>14</v>
      </c>
      <c r="B16" s="17" t="s">
        <v>78</v>
      </c>
      <c r="C16" s="6" t="s">
        <v>79</v>
      </c>
      <c r="D16" s="17">
        <v>0.35</v>
      </c>
      <c r="E16" s="17">
        <v>0.4</v>
      </c>
      <c r="F16" s="17">
        <v>0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" sqref="A1:D2"/>
    </sheetView>
  </sheetViews>
  <sheetFormatPr defaultColWidth="9" defaultRowHeight="16.8" outlineLevelCol="3"/>
  <cols>
    <col min="3" max="3" width="16.4545454545455" customWidth="1"/>
    <col min="4" max="4" width="11.0909090909091" customWidth="1"/>
  </cols>
  <sheetData>
    <row r="1" spans="1:4">
      <c r="A1" s="28" t="s">
        <v>80</v>
      </c>
      <c r="B1" s="28"/>
      <c r="C1" s="28"/>
      <c r="D1" s="28"/>
    </row>
    <row r="2" spans="1:4">
      <c r="A2" s="29" t="s">
        <v>47</v>
      </c>
      <c r="B2" s="29" t="s">
        <v>22</v>
      </c>
      <c r="C2" s="29" t="s">
        <v>48</v>
      </c>
      <c r="D2" s="29" t="s">
        <v>27</v>
      </c>
    </row>
    <row r="3" spans="1:4">
      <c r="A3" s="15">
        <v>1</v>
      </c>
      <c r="B3" s="17" t="s">
        <v>52</v>
      </c>
      <c r="C3" s="6" t="s">
        <v>53</v>
      </c>
      <c r="D3" s="15">
        <v>0.5</v>
      </c>
    </row>
    <row r="4" spans="1:4">
      <c r="A4" s="15">
        <v>2</v>
      </c>
      <c r="B4" s="17" t="s">
        <v>54</v>
      </c>
      <c r="C4" s="6" t="s">
        <v>55</v>
      </c>
      <c r="D4" s="15">
        <v>1</v>
      </c>
    </row>
    <row r="5" spans="1:4">
      <c r="A5" s="15">
        <v>3</v>
      </c>
      <c r="B5" s="17" t="s">
        <v>56</v>
      </c>
      <c r="C5" s="6" t="s">
        <v>57</v>
      </c>
      <c r="D5" s="15">
        <v>0.5</v>
      </c>
    </row>
    <row r="6" spans="1:4">
      <c r="A6" s="15">
        <v>4</v>
      </c>
      <c r="B6" s="17" t="s">
        <v>58</v>
      </c>
      <c r="C6" s="6" t="s">
        <v>59</v>
      </c>
      <c r="D6" s="15">
        <v>1</v>
      </c>
    </row>
    <row r="7" spans="1:4">
      <c r="A7" s="15">
        <v>5</v>
      </c>
      <c r="B7" s="17" t="s">
        <v>60</v>
      </c>
      <c r="C7" s="6" t="s">
        <v>61</v>
      </c>
      <c r="D7" s="15">
        <v>0.75</v>
      </c>
    </row>
    <row r="8" spans="1:4">
      <c r="A8" s="15">
        <v>6</v>
      </c>
      <c r="B8" s="17" t="s">
        <v>62</v>
      </c>
      <c r="C8" s="6" t="s">
        <v>63</v>
      </c>
      <c r="D8" s="15">
        <v>1.2</v>
      </c>
    </row>
    <row r="9" spans="1:4">
      <c r="A9" s="15">
        <v>7</v>
      </c>
      <c r="B9" s="17" t="s">
        <v>64</v>
      </c>
      <c r="C9" s="6" t="s">
        <v>65</v>
      </c>
      <c r="D9" s="15">
        <v>1</v>
      </c>
    </row>
    <row r="10" spans="1:4">
      <c r="A10" s="15">
        <v>8</v>
      </c>
      <c r="B10" s="17" t="s">
        <v>66</v>
      </c>
      <c r="C10" s="6" t="s">
        <v>67</v>
      </c>
      <c r="D10" s="15">
        <v>0</v>
      </c>
    </row>
    <row r="11" spans="1:4">
      <c r="A11" s="15">
        <v>9</v>
      </c>
      <c r="B11" s="17" t="s">
        <v>68</v>
      </c>
      <c r="C11" s="6" t="s">
        <v>69</v>
      </c>
      <c r="D11" s="15">
        <v>0.75</v>
      </c>
    </row>
    <row r="12" spans="1:4">
      <c r="A12" s="15">
        <v>10</v>
      </c>
      <c r="B12" s="17" t="s">
        <v>70</v>
      </c>
      <c r="C12" s="6" t="s">
        <v>71</v>
      </c>
      <c r="D12" s="15">
        <v>0.3</v>
      </c>
    </row>
    <row r="13" spans="1:4">
      <c r="A13" s="15">
        <v>11</v>
      </c>
      <c r="B13" s="17" t="s">
        <v>72</v>
      </c>
      <c r="C13" s="6" t="s">
        <v>73</v>
      </c>
      <c r="D13" s="15">
        <v>0.3</v>
      </c>
    </row>
    <row r="14" spans="1:4">
      <c r="A14" s="15">
        <v>12</v>
      </c>
      <c r="B14" s="17" t="s">
        <v>74</v>
      </c>
      <c r="C14" s="6" t="s">
        <v>75</v>
      </c>
      <c r="D14" s="15">
        <v>1.5</v>
      </c>
    </row>
    <row r="15" spans="1:4">
      <c r="A15" s="15">
        <v>13</v>
      </c>
      <c r="B15" s="17" t="s">
        <v>76</v>
      </c>
      <c r="C15" s="6" t="s">
        <v>77</v>
      </c>
      <c r="D15" s="15">
        <v>1.35</v>
      </c>
    </row>
    <row r="16" spans="1:4">
      <c r="A16" s="15">
        <v>14</v>
      </c>
      <c r="B16" s="17" t="s">
        <v>78</v>
      </c>
      <c r="C16" s="6" t="s">
        <v>79</v>
      </c>
      <c r="D16" s="15">
        <v>0.85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E11" sqref="E11"/>
    </sheetView>
  </sheetViews>
  <sheetFormatPr defaultColWidth="9" defaultRowHeight="16.8" outlineLevelCol="3"/>
  <cols>
    <col min="2" max="2" width="9.81818181818182" customWidth="1"/>
    <col min="3" max="3" width="15.8181818181818" customWidth="1"/>
    <col min="4" max="4" width="14" customWidth="1"/>
  </cols>
  <sheetData>
    <row r="1" spans="1:4">
      <c r="A1" s="26" t="s">
        <v>80</v>
      </c>
      <c r="B1" s="26"/>
      <c r="C1" s="26"/>
      <c r="D1" s="26"/>
    </row>
    <row r="2" spans="1:4">
      <c r="A2" s="27" t="s">
        <v>47</v>
      </c>
      <c r="B2" s="27" t="s">
        <v>22</v>
      </c>
      <c r="C2" s="27" t="s">
        <v>48</v>
      </c>
      <c r="D2" s="27" t="s">
        <v>81</v>
      </c>
    </row>
    <row r="3" spans="1:4">
      <c r="A3" s="15">
        <v>1</v>
      </c>
      <c r="B3" s="17" t="s">
        <v>52</v>
      </c>
      <c r="C3" s="6" t="s">
        <v>53</v>
      </c>
      <c r="D3" s="15">
        <v>4.2</v>
      </c>
    </row>
    <row r="4" spans="1:4">
      <c r="A4" s="15">
        <v>2</v>
      </c>
      <c r="B4" s="17" t="s">
        <v>54</v>
      </c>
      <c r="C4" s="6" t="s">
        <v>55</v>
      </c>
      <c r="D4" s="15">
        <v>5.8</v>
      </c>
    </row>
    <row r="5" spans="1:4">
      <c r="A5" s="15">
        <v>3</v>
      </c>
      <c r="B5" s="17" t="s">
        <v>56</v>
      </c>
      <c r="C5" s="6" t="s">
        <v>57</v>
      </c>
      <c r="D5" s="15">
        <v>5.8</v>
      </c>
    </row>
    <row r="6" spans="1:4">
      <c r="A6" s="15">
        <v>4</v>
      </c>
      <c r="B6" s="17" t="s">
        <v>58</v>
      </c>
      <c r="C6" s="6" t="s">
        <v>59</v>
      </c>
      <c r="D6" s="15">
        <v>4.5</v>
      </c>
    </row>
    <row r="7" spans="1:4">
      <c r="A7" s="15">
        <v>5</v>
      </c>
      <c r="B7" s="17" t="s">
        <v>60</v>
      </c>
      <c r="C7" s="6" t="s">
        <v>61</v>
      </c>
      <c r="D7" s="15">
        <v>5.5</v>
      </c>
    </row>
    <row r="8" spans="1:4">
      <c r="A8" s="15">
        <v>6</v>
      </c>
      <c r="B8" s="17" t="s">
        <v>62</v>
      </c>
      <c r="C8" s="6" t="s">
        <v>63</v>
      </c>
      <c r="D8" s="15">
        <v>7.5</v>
      </c>
    </row>
    <row r="9" spans="1:4">
      <c r="A9" s="15">
        <v>7</v>
      </c>
      <c r="B9" s="17" t="s">
        <v>64</v>
      </c>
      <c r="C9" s="6" t="s">
        <v>65</v>
      </c>
      <c r="D9" s="15">
        <v>5.3</v>
      </c>
    </row>
    <row r="10" spans="1:4">
      <c r="A10" s="15">
        <v>8</v>
      </c>
      <c r="B10" s="17" t="s">
        <v>66</v>
      </c>
      <c r="C10" s="6" t="s">
        <v>67</v>
      </c>
      <c r="D10" s="15">
        <v>6.8</v>
      </c>
    </row>
    <row r="11" spans="1:4">
      <c r="A11" s="15">
        <v>9</v>
      </c>
      <c r="B11" s="17" t="s">
        <v>68</v>
      </c>
      <c r="C11" s="6" t="s">
        <v>69</v>
      </c>
      <c r="D11" s="15">
        <v>6.3</v>
      </c>
    </row>
    <row r="12" spans="1:4">
      <c r="A12" s="15">
        <v>10</v>
      </c>
      <c r="B12" s="17" t="s">
        <v>70</v>
      </c>
      <c r="C12" s="6" t="s">
        <v>71</v>
      </c>
      <c r="D12" s="15">
        <v>8.3</v>
      </c>
    </row>
    <row r="13" spans="1:4">
      <c r="A13" s="15">
        <v>11</v>
      </c>
      <c r="B13" s="17" t="s">
        <v>72</v>
      </c>
      <c r="C13" s="6" t="s">
        <v>73</v>
      </c>
      <c r="D13" s="15">
        <v>-3</v>
      </c>
    </row>
    <row r="14" spans="1:4">
      <c r="A14" s="15">
        <v>12</v>
      </c>
      <c r="B14" s="17" t="s">
        <v>74</v>
      </c>
      <c r="C14" s="6" t="s">
        <v>75</v>
      </c>
      <c r="D14" s="15">
        <v>7</v>
      </c>
    </row>
    <row r="15" spans="1:4">
      <c r="A15" s="15">
        <v>13</v>
      </c>
      <c r="B15" s="17" t="s">
        <v>76</v>
      </c>
      <c r="C15" s="6" t="s">
        <v>77</v>
      </c>
      <c r="D15" s="15">
        <v>-3</v>
      </c>
    </row>
    <row r="16" spans="1:4">
      <c r="A16" s="15">
        <v>14</v>
      </c>
      <c r="B16" s="17" t="s">
        <v>78</v>
      </c>
      <c r="C16" s="6" t="s">
        <v>79</v>
      </c>
      <c r="D16" s="15">
        <v>6.5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F12" sqref="F12"/>
    </sheetView>
  </sheetViews>
  <sheetFormatPr defaultColWidth="9" defaultRowHeight="16.8" outlineLevelCol="6"/>
  <cols>
    <col min="1" max="1" width="4.36363636363636" customWidth="1"/>
    <col min="2" max="2" width="21.4545454545455" customWidth="1"/>
    <col min="3" max="3" width="12.1818181818182" customWidth="1"/>
    <col min="4" max="4" width="20.9090909090909" customWidth="1"/>
    <col min="5" max="5" width="4.09090909090909" customWidth="1"/>
    <col min="6" max="6" width="17.5454545454545" customWidth="1"/>
    <col min="7" max="7" width="14" customWidth="1"/>
  </cols>
  <sheetData>
    <row r="1" spans="1:7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7">
      <c r="A2" s="8">
        <v>1</v>
      </c>
      <c r="B2" s="9" t="s">
        <v>82</v>
      </c>
      <c r="C2" s="10"/>
      <c r="D2" s="11"/>
      <c r="E2" s="12"/>
      <c r="F2" s="9" t="s">
        <v>83</v>
      </c>
      <c r="G2" s="11"/>
    </row>
    <row r="3" spans="1:7">
      <c r="A3" s="8">
        <v>2</v>
      </c>
      <c r="B3" s="13" t="s">
        <v>84</v>
      </c>
      <c r="C3" s="13" t="s">
        <v>31</v>
      </c>
      <c r="D3" s="13" t="s">
        <v>85</v>
      </c>
      <c r="E3" s="14"/>
      <c r="F3" s="13" t="s">
        <v>86</v>
      </c>
      <c r="G3" s="13" t="s">
        <v>87</v>
      </c>
    </row>
    <row r="4" spans="1:7">
      <c r="A4" s="8">
        <v>3</v>
      </c>
      <c r="B4" s="6">
        <v>0</v>
      </c>
      <c r="C4" s="15" t="s">
        <v>5</v>
      </c>
      <c r="D4" s="6">
        <v>0</v>
      </c>
      <c r="E4" s="6"/>
      <c r="F4" s="6">
        <v>0</v>
      </c>
      <c r="G4" s="6">
        <v>1</v>
      </c>
    </row>
    <row r="5" spans="1:7">
      <c r="A5" s="8">
        <v>4</v>
      </c>
      <c r="B5" s="6">
        <v>4</v>
      </c>
      <c r="C5" s="15" t="s">
        <v>3</v>
      </c>
      <c r="D5" s="6">
        <v>1</v>
      </c>
      <c r="E5" s="6"/>
      <c r="F5" s="6">
        <v>1</v>
      </c>
      <c r="G5" s="6">
        <v>0.5</v>
      </c>
    </row>
    <row r="6" spans="1:7">
      <c r="A6" s="8">
        <v>5</v>
      </c>
      <c r="B6" s="6">
        <v>5</v>
      </c>
      <c r="C6" s="15" t="s">
        <v>88</v>
      </c>
      <c r="D6" s="6">
        <v>1.5</v>
      </c>
      <c r="E6" s="6"/>
      <c r="F6" s="6">
        <v>2</v>
      </c>
      <c r="G6" s="6">
        <v>0.25</v>
      </c>
    </row>
    <row r="7" spans="1:7">
      <c r="A7" s="8">
        <v>6</v>
      </c>
      <c r="B7" s="6">
        <v>5.5</v>
      </c>
      <c r="C7" s="15" t="s">
        <v>2</v>
      </c>
      <c r="D7" s="6">
        <v>2</v>
      </c>
      <c r="E7" s="6"/>
      <c r="F7" s="6"/>
      <c r="G7" s="6"/>
    </row>
    <row r="8" spans="1:7">
      <c r="A8" s="8">
        <v>7</v>
      </c>
      <c r="B8" s="6">
        <v>6.5</v>
      </c>
      <c r="C8" s="15" t="s">
        <v>89</v>
      </c>
      <c r="D8" s="6">
        <v>2.5</v>
      </c>
      <c r="E8" s="6"/>
      <c r="F8" s="6"/>
      <c r="G8" s="6"/>
    </row>
    <row r="9" spans="1:7">
      <c r="A9" s="8">
        <v>8</v>
      </c>
      <c r="B9" s="6">
        <v>7</v>
      </c>
      <c r="C9" s="15" t="s">
        <v>90</v>
      </c>
      <c r="D9" s="6">
        <v>3</v>
      </c>
      <c r="E9" s="6"/>
      <c r="F9" s="6"/>
      <c r="G9" s="6"/>
    </row>
    <row r="10" spans="1:7">
      <c r="A10" s="8">
        <v>9</v>
      </c>
      <c r="B10" s="6">
        <v>8</v>
      </c>
      <c r="C10" s="15" t="s">
        <v>90</v>
      </c>
      <c r="D10" s="6">
        <v>3.5</v>
      </c>
      <c r="E10" s="6"/>
      <c r="F10" s="6"/>
      <c r="G10" s="6"/>
    </row>
    <row r="11" spans="1:7">
      <c r="A11" s="8">
        <v>10</v>
      </c>
      <c r="B11" s="6">
        <v>9</v>
      </c>
      <c r="C11" s="15" t="s">
        <v>0</v>
      </c>
      <c r="D11" s="6">
        <v>4</v>
      </c>
      <c r="E11" s="6"/>
      <c r="F11" s="6"/>
      <c r="G11" s="6"/>
    </row>
    <row r="14" spans="1:7">
      <c r="A14" s="6"/>
      <c r="B14" s="8" t="s">
        <v>0</v>
      </c>
      <c r="C14" s="8" t="s">
        <v>1</v>
      </c>
      <c r="D14" s="8" t="s">
        <v>2</v>
      </c>
      <c r="E14" s="8" t="s">
        <v>3</v>
      </c>
      <c r="F14" s="8" t="s">
        <v>4</v>
      </c>
      <c r="G14" s="8" t="s">
        <v>5</v>
      </c>
    </row>
    <row r="15" spans="1:7">
      <c r="A15" s="8">
        <v>11</v>
      </c>
      <c r="B15" s="6"/>
      <c r="C15" s="6"/>
      <c r="D15" s="6"/>
      <c r="E15" s="6"/>
      <c r="F15" s="6"/>
      <c r="G15" s="6"/>
    </row>
    <row r="16" spans="1:7">
      <c r="A16" s="8">
        <v>12</v>
      </c>
      <c r="B16" s="13" t="s">
        <v>91</v>
      </c>
      <c r="C16" s="13"/>
      <c r="D16" s="13"/>
      <c r="E16" s="6"/>
      <c r="F16" s="13" t="s">
        <v>92</v>
      </c>
      <c r="G16" s="13"/>
    </row>
    <row r="17" ht="33.6" spans="1:7">
      <c r="A17" s="8">
        <v>13</v>
      </c>
      <c r="B17" s="16" t="s">
        <v>47</v>
      </c>
      <c r="C17" s="16" t="s">
        <v>22</v>
      </c>
      <c r="D17" s="16" t="s">
        <v>48</v>
      </c>
      <c r="E17" s="17"/>
      <c r="F17" s="16" t="s">
        <v>31</v>
      </c>
      <c r="G17" s="18" t="s">
        <v>93</v>
      </c>
    </row>
    <row r="18" spans="1:7">
      <c r="A18" s="8">
        <v>14</v>
      </c>
      <c r="B18" s="15">
        <v>1</v>
      </c>
      <c r="C18" s="17" t="s">
        <v>58</v>
      </c>
      <c r="D18" s="6" t="s">
        <v>59</v>
      </c>
      <c r="E18" s="6"/>
      <c r="F18" s="6" t="s">
        <v>0</v>
      </c>
      <c r="G18" s="17">
        <f>COUNTIF(Tonghopdiem!$L$8:$L$21,'Cacbangthamchieu&amp;thongke'!F18)</f>
        <v>0</v>
      </c>
    </row>
    <row r="19" spans="1:7">
      <c r="A19" s="8">
        <v>15</v>
      </c>
      <c r="B19" s="15">
        <v>2</v>
      </c>
      <c r="C19" s="17" t="s">
        <v>66</v>
      </c>
      <c r="D19" s="6" t="s">
        <v>67</v>
      </c>
      <c r="E19" s="6"/>
      <c r="F19" s="6" t="s">
        <v>90</v>
      </c>
      <c r="G19" s="17">
        <f>COUNTIF(Tonghopdiem!$L$8:$L$21,'Cacbangthamchieu&amp;thongke'!F19)</f>
        <v>3</v>
      </c>
    </row>
    <row r="20" spans="1:7">
      <c r="A20" s="8">
        <v>16</v>
      </c>
      <c r="B20" s="15">
        <v>3</v>
      </c>
      <c r="C20" s="17" t="s">
        <v>68</v>
      </c>
      <c r="D20" s="6" t="s">
        <v>69</v>
      </c>
      <c r="E20" s="6"/>
      <c r="F20" s="6" t="s">
        <v>1</v>
      </c>
      <c r="G20" s="17">
        <f>COUNTIF(Tonghopdiem!$L$8:$L$21,'Cacbangthamchieu&amp;thongke'!F20)</f>
        <v>0</v>
      </c>
    </row>
    <row r="21" spans="1:7">
      <c r="A21" s="8">
        <v>17</v>
      </c>
      <c r="B21" s="15">
        <v>4</v>
      </c>
      <c r="C21" s="17" t="s">
        <v>64</v>
      </c>
      <c r="D21" s="6" t="s">
        <v>65</v>
      </c>
      <c r="E21" s="6"/>
      <c r="F21" s="6" t="s">
        <v>89</v>
      </c>
      <c r="G21" s="17">
        <f>COUNTIF(Tonghopdiem!$L$8:$L$21,'Cacbangthamchieu&amp;thongke'!F21)</f>
        <v>2</v>
      </c>
    </row>
    <row r="22" spans="1:7">
      <c r="A22" s="8">
        <v>18</v>
      </c>
      <c r="B22" s="15">
        <v>5</v>
      </c>
      <c r="C22" s="17" t="s">
        <v>60</v>
      </c>
      <c r="D22" s="6" t="s">
        <v>61</v>
      </c>
      <c r="E22" s="6"/>
      <c r="F22" s="6" t="s">
        <v>2</v>
      </c>
      <c r="G22" s="17">
        <f>COUNTIF(Tonghopdiem!$L$8:$L$21,'Cacbangthamchieu&amp;thongke'!F22)</f>
        <v>5</v>
      </c>
    </row>
    <row r="23" spans="1:7">
      <c r="A23" s="8">
        <v>19</v>
      </c>
      <c r="B23" s="15">
        <v>6</v>
      </c>
      <c r="C23" s="17" t="s">
        <v>54</v>
      </c>
      <c r="D23" s="6" t="s">
        <v>55</v>
      </c>
      <c r="E23" s="6"/>
      <c r="F23" s="6" t="s">
        <v>88</v>
      </c>
      <c r="G23" s="17">
        <f>COUNTIF(Tonghopdiem!$L$8:$L$21,'Cacbangthamchieu&amp;thongke'!F23)</f>
        <v>1</v>
      </c>
    </row>
    <row r="24" spans="1:7">
      <c r="A24" s="8">
        <v>20</v>
      </c>
      <c r="B24" s="15">
        <v>7</v>
      </c>
      <c r="C24" s="17" t="s">
        <v>72</v>
      </c>
      <c r="D24" s="6" t="s">
        <v>73</v>
      </c>
      <c r="E24" s="6"/>
      <c r="F24" s="6" t="s">
        <v>3</v>
      </c>
      <c r="G24" s="17">
        <f>COUNTIF(Tonghopdiem!$L$8:$L$21,'Cacbangthamchieu&amp;thongke'!F24)</f>
        <v>0</v>
      </c>
    </row>
    <row r="25" spans="1:7">
      <c r="A25" s="8">
        <v>21</v>
      </c>
      <c r="B25" s="15">
        <v>8</v>
      </c>
      <c r="C25" s="17" t="s">
        <v>78</v>
      </c>
      <c r="D25" s="6" t="s">
        <v>79</v>
      </c>
      <c r="E25" s="6"/>
      <c r="F25" s="6" t="s">
        <v>5</v>
      </c>
      <c r="G25" s="17">
        <f>COUNTIF(Tonghopdiem!$L$8:$L$21,'Cacbangthamchieu&amp;thongke'!F25)</f>
        <v>3</v>
      </c>
    </row>
    <row r="26" spans="1:7">
      <c r="A26" s="8">
        <v>22</v>
      </c>
      <c r="B26" s="15">
        <v>9</v>
      </c>
      <c r="C26" s="17" t="s">
        <v>74</v>
      </c>
      <c r="D26" s="6" t="s">
        <v>75</v>
      </c>
      <c r="E26" s="6"/>
      <c r="F26" s="6"/>
      <c r="G26" s="6"/>
    </row>
    <row r="27" spans="1:7">
      <c r="A27" s="8">
        <v>23</v>
      </c>
      <c r="B27" s="15">
        <v>10</v>
      </c>
      <c r="C27" s="17" t="s">
        <v>56</v>
      </c>
      <c r="D27" s="6" t="s">
        <v>57</v>
      </c>
      <c r="E27" s="6"/>
      <c r="F27" s="19" t="s">
        <v>94</v>
      </c>
      <c r="G27" s="19"/>
    </row>
    <row r="28" spans="1:7">
      <c r="A28" s="8">
        <v>24</v>
      </c>
      <c r="B28" s="15">
        <v>11</v>
      </c>
      <c r="C28" s="17" t="s">
        <v>70</v>
      </c>
      <c r="D28" s="6" t="s">
        <v>71</v>
      </c>
      <c r="E28" s="6"/>
      <c r="F28" s="20" t="s">
        <v>95</v>
      </c>
      <c r="G28" s="21">
        <f>COUNTIFS(Tonghopdiem!$H$8:$H$21,0)+COUNTIF(Tonghopdiem!$I$8:$I$21,-3)</f>
        <v>3</v>
      </c>
    </row>
    <row r="29" spans="1:7">
      <c r="A29" s="8">
        <v>25</v>
      </c>
      <c r="B29" s="15">
        <v>12</v>
      </c>
      <c r="C29" s="17" t="s">
        <v>52</v>
      </c>
      <c r="D29" s="6" t="s">
        <v>53</v>
      </c>
      <c r="E29" s="6"/>
      <c r="F29" s="22"/>
      <c r="G29" s="23"/>
    </row>
    <row r="30" spans="1:7">
      <c r="A30" s="8">
        <v>26</v>
      </c>
      <c r="B30" s="15">
        <v>13</v>
      </c>
      <c r="C30" s="17" t="s">
        <v>62</v>
      </c>
      <c r="D30" s="6" t="s">
        <v>63</v>
      </c>
      <c r="E30" s="6"/>
      <c r="F30" s="24"/>
      <c r="G30" s="25"/>
    </row>
    <row r="31" spans="1:7">
      <c r="A31" s="8">
        <v>27</v>
      </c>
      <c r="B31" s="15">
        <v>14</v>
      </c>
      <c r="C31" s="17" t="s">
        <v>76</v>
      </c>
      <c r="D31" s="6" t="s">
        <v>77</v>
      </c>
      <c r="E31" s="6"/>
      <c r="F31" s="6" t="s">
        <v>96</v>
      </c>
      <c r="G31" s="15">
        <v>2</v>
      </c>
    </row>
  </sheetData>
  <mergeCells count="7">
    <mergeCell ref="B2:D2"/>
    <mergeCell ref="F2:G2"/>
    <mergeCell ref="B16:D16"/>
    <mergeCell ref="F16:G16"/>
    <mergeCell ref="F27:G27"/>
    <mergeCell ref="F28:F30"/>
    <mergeCell ref="G28:G30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C16" sqref="C16"/>
    </sheetView>
  </sheetViews>
  <sheetFormatPr defaultColWidth="9" defaultRowHeight="16.8"/>
  <cols>
    <col min="2" max="2" width="14" customWidth="1"/>
    <col min="3" max="3" width="23.9090909090909" customWidth="1"/>
  </cols>
  <sheetData>
    <row r="1" ht="41.4" spans="1:11">
      <c r="A1" s="1" t="s">
        <v>47</v>
      </c>
      <c r="B1" s="1" t="s">
        <v>22</v>
      </c>
      <c r="C1" s="1" t="s">
        <v>23</v>
      </c>
      <c r="D1" s="1" t="s">
        <v>49</v>
      </c>
      <c r="E1" s="1" t="s">
        <v>50</v>
      </c>
      <c r="F1" s="1" t="s">
        <v>51</v>
      </c>
      <c r="G1" s="1" t="s">
        <v>27</v>
      </c>
      <c r="H1" s="1" t="s">
        <v>97</v>
      </c>
      <c r="I1" s="1" t="s">
        <v>98</v>
      </c>
      <c r="J1" s="1" t="s">
        <v>84</v>
      </c>
      <c r="K1" s="1" t="s">
        <v>31</v>
      </c>
    </row>
    <row r="2" spans="1:11">
      <c r="A2" s="2">
        <v>1</v>
      </c>
      <c r="B2" s="2" t="s">
        <v>32</v>
      </c>
      <c r="C2" s="2" t="s">
        <v>53</v>
      </c>
      <c r="D2" s="3">
        <v>0.45</v>
      </c>
      <c r="E2" s="3">
        <v>0.25</v>
      </c>
      <c r="F2" s="3">
        <v>0.3</v>
      </c>
      <c r="G2" s="3">
        <v>0.5</v>
      </c>
      <c r="H2" s="3">
        <v>4.2</v>
      </c>
      <c r="I2" s="4">
        <v>4</v>
      </c>
      <c r="J2" s="4">
        <v>5</v>
      </c>
      <c r="K2" s="2" t="s">
        <v>88</v>
      </c>
    </row>
    <row r="3" spans="1:11">
      <c r="A3" s="2">
        <v>2</v>
      </c>
      <c r="B3" s="2" t="s">
        <v>33</v>
      </c>
      <c r="C3" s="2" t="s">
        <v>55</v>
      </c>
      <c r="D3" s="3">
        <v>0.5</v>
      </c>
      <c r="E3" s="3">
        <v>0.35</v>
      </c>
      <c r="F3" s="3">
        <v>0.4</v>
      </c>
      <c r="G3" s="3">
        <v>1</v>
      </c>
      <c r="H3" s="3">
        <v>5.8</v>
      </c>
      <c r="I3" s="4">
        <v>5.7</v>
      </c>
      <c r="J3" s="4">
        <v>6.2</v>
      </c>
      <c r="K3" s="2" t="s">
        <v>2</v>
      </c>
    </row>
    <row r="4" spans="1:11">
      <c r="A4" s="2">
        <v>3</v>
      </c>
      <c r="B4" s="2" t="s">
        <v>34</v>
      </c>
      <c r="C4" s="2" t="s">
        <v>57</v>
      </c>
      <c r="D4" s="3">
        <v>0.25</v>
      </c>
      <c r="E4" s="3">
        <v>0.25</v>
      </c>
      <c r="F4" s="3">
        <v>0.3</v>
      </c>
      <c r="G4" s="3">
        <v>0.5</v>
      </c>
      <c r="H4" s="3">
        <v>5.8</v>
      </c>
      <c r="I4" s="4">
        <v>4.8</v>
      </c>
      <c r="J4" s="4">
        <v>5.8</v>
      </c>
      <c r="K4" s="2" t="s">
        <v>2</v>
      </c>
    </row>
    <row r="5" spans="1:11">
      <c r="A5" s="2">
        <v>4</v>
      </c>
      <c r="B5" s="2" t="s">
        <v>35</v>
      </c>
      <c r="C5" s="2" t="s">
        <v>59</v>
      </c>
      <c r="D5" s="3">
        <v>0.4</v>
      </c>
      <c r="E5" s="3">
        <v>0.25</v>
      </c>
      <c r="F5" s="3">
        <v>0.35</v>
      </c>
      <c r="G5" s="3">
        <v>1</v>
      </c>
      <c r="H5" s="3">
        <v>4.5</v>
      </c>
      <c r="I5" s="4">
        <v>4.7</v>
      </c>
      <c r="J5" s="4">
        <v>5.7</v>
      </c>
      <c r="K5" s="2" t="s">
        <v>2</v>
      </c>
    </row>
    <row r="6" spans="1:11">
      <c r="A6" s="2">
        <v>5</v>
      </c>
      <c r="B6" s="2" t="s">
        <v>36</v>
      </c>
      <c r="C6" s="2" t="s">
        <v>61</v>
      </c>
      <c r="D6" s="3">
        <v>0.45</v>
      </c>
      <c r="E6" s="3">
        <v>0.4</v>
      </c>
      <c r="F6" s="3">
        <v>0.35</v>
      </c>
      <c r="G6" s="3">
        <v>0.75</v>
      </c>
      <c r="H6" s="3">
        <v>5.5</v>
      </c>
      <c r="I6" s="4">
        <v>5.3</v>
      </c>
      <c r="J6" s="4">
        <v>5.6</v>
      </c>
      <c r="K6" s="2" t="s">
        <v>2</v>
      </c>
    </row>
    <row r="7" spans="1:11">
      <c r="A7" s="2">
        <v>7</v>
      </c>
      <c r="B7" s="2" t="s">
        <v>38</v>
      </c>
      <c r="C7" s="2" t="s">
        <v>65</v>
      </c>
      <c r="D7" s="3">
        <v>0.4</v>
      </c>
      <c r="E7" s="3">
        <v>0.4</v>
      </c>
      <c r="F7" s="3">
        <v>0.4</v>
      </c>
      <c r="G7" s="3">
        <v>1</v>
      </c>
      <c r="H7" s="3">
        <v>5.3</v>
      </c>
      <c r="I7" s="4">
        <v>5.4</v>
      </c>
      <c r="J7" s="4">
        <v>6.4</v>
      </c>
      <c r="K7" s="2" t="s">
        <v>2</v>
      </c>
    </row>
    <row r="8" spans="1:11">
      <c r="A8" s="2">
        <v>8</v>
      </c>
      <c r="B8" s="2" t="s">
        <v>39</v>
      </c>
      <c r="C8" s="2" t="s">
        <v>67</v>
      </c>
      <c r="D8" s="3">
        <v>0.45</v>
      </c>
      <c r="E8" s="3">
        <v>0.4</v>
      </c>
      <c r="F8" s="3">
        <v>0.45</v>
      </c>
      <c r="G8" s="3">
        <v>0</v>
      </c>
      <c r="H8" s="3">
        <v>6.8</v>
      </c>
      <c r="I8" s="4">
        <v>5.4</v>
      </c>
      <c r="J8" s="4">
        <v>0</v>
      </c>
      <c r="K8" s="2" t="s">
        <v>5</v>
      </c>
    </row>
    <row r="9" spans="1:11">
      <c r="A9" s="2">
        <v>9</v>
      </c>
      <c r="B9" s="2" t="s">
        <v>40</v>
      </c>
      <c r="C9" s="2" t="s">
        <v>69</v>
      </c>
      <c r="D9" s="3">
        <v>0.45</v>
      </c>
      <c r="E9" s="3">
        <v>0.4</v>
      </c>
      <c r="F9" s="3">
        <v>0.4</v>
      </c>
      <c r="G9" s="3">
        <v>0.75</v>
      </c>
      <c r="H9" s="3">
        <v>6.3</v>
      </c>
      <c r="I9" s="4">
        <v>5.8</v>
      </c>
      <c r="J9" s="4">
        <v>6.8</v>
      </c>
      <c r="K9" s="2" t="s">
        <v>89</v>
      </c>
    </row>
    <row r="10" spans="1:11">
      <c r="A10" s="2">
        <v>11</v>
      </c>
      <c r="B10" s="2" t="s">
        <v>42</v>
      </c>
      <c r="C10" s="2" t="s">
        <v>73</v>
      </c>
      <c r="D10" s="3">
        <v>0.4</v>
      </c>
      <c r="E10" s="3">
        <v>0.45</v>
      </c>
      <c r="F10" s="3">
        <v>0.4</v>
      </c>
      <c r="G10" s="3">
        <v>0.3</v>
      </c>
      <c r="H10" s="3">
        <v>-3</v>
      </c>
      <c r="I10" s="4">
        <v>0</v>
      </c>
      <c r="J10" s="4">
        <v>0</v>
      </c>
      <c r="K10" s="2" t="s">
        <v>5</v>
      </c>
    </row>
    <row r="11" spans="1:11">
      <c r="A11" s="2">
        <v>13</v>
      </c>
      <c r="B11" s="2" t="s">
        <v>44</v>
      </c>
      <c r="C11" s="2" t="s">
        <v>77</v>
      </c>
      <c r="D11" s="3">
        <v>0.4</v>
      </c>
      <c r="E11" s="3">
        <v>0.4</v>
      </c>
      <c r="F11" s="3">
        <v>0.35</v>
      </c>
      <c r="G11" s="3">
        <v>1.35</v>
      </c>
      <c r="H11" s="3">
        <v>-3</v>
      </c>
      <c r="I11" s="4">
        <v>0</v>
      </c>
      <c r="J11" s="4">
        <v>0</v>
      </c>
      <c r="K11" s="2" t="s">
        <v>5</v>
      </c>
    </row>
    <row r="12" spans="1:11">
      <c r="A12" s="2">
        <v>14</v>
      </c>
      <c r="B12" s="2" t="s">
        <v>45</v>
      </c>
      <c r="C12" s="2" t="s">
        <v>79</v>
      </c>
      <c r="D12" s="3">
        <v>0.35</v>
      </c>
      <c r="E12" s="3">
        <v>0.4</v>
      </c>
      <c r="F12" s="3">
        <v>0</v>
      </c>
      <c r="G12" s="3">
        <v>0.85</v>
      </c>
      <c r="H12" s="3">
        <v>6.5</v>
      </c>
      <c r="I12" s="4">
        <v>5.5</v>
      </c>
      <c r="J12" s="4">
        <v>6.5</v>
      </c>
      <c r="K12" s="2" t="s">
        <v>89</v>
      </c>
    </row>
    <row r="17" spans="4:4">
      <c r="D17" s="5"/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E22" sqref="E22"/>
    </sheetView>
  </sheetViews>
  <sheetFormatPr defaultColWidth="9" defaultRowHeight="16.8" outlineLevelRow="1"/>
  <cols>
    <col min="2" max="2" width="13.5454545454545" customWidth="1"/>
    <col min="3" max="3" width="18.5454545454545" customWidth="1"/>
  </cols>
  <sheetData>
    <row r="1" ht="41.4" spans="1:11">
      <c r="A1" s="1" t="s">
        <v>47</v>
      </c>
      <c r="B1" s="1" t="s">
        <v>22</v>
      </c>
      <c r="C1" s="1" t="s">
        <v>23</v>
      </c>
      <c r="D1" s="1" t="s">
        <v>49</v>
      </c>
      <c r="E1" s="1" t="s">
        <v>50</v>
      </c>
      <c r="F1" s="1" t="s">
        <v>51</v>
      </c>
      <c r="G1" s="1" t="s">
        <v>27</v>
      </c>
      <c r="H1" s="1" t="s">
        <v>97</v>
      </c>
      <c r="I1" s="1" t="s">
        <v>98</v>
      </c>
      <c r="J1" s="1" t="s">
        <v>84</v>
      </c>
      <c r="K1" s="1" t="s">
        <v>31</v>
      </c>
    </row>
    <row r="2" spans="1:11">
      <c r="A2" s="2">
        <v>6</v>
      </c>
      <c r="B2" s="2" t="s">
        <v>37</v>
      </c>
      <c r="C2" s="2" t="s">
        <v>63</v>
      </c>
      <c r="D2" s="3">
        <v>0.4</v>
      </c>
      <c r="E2" s="3">
        <v>0.45</v>
      </c>
      <c r="F2" s="3">
        <v>0.5</v>
      </c>
      <c r="G2" s="3">
        <v>1.2</v>
      </c>
      <c r="H2" s="3">
        <v>7.5</v>
      </c>
      <c r="I2" s="4">
        <v>7.1</v>
      </c>
      <c r="J2" s="4">
        <v>8.1</v>
      </c>
      <c r="K2" s="2" t="s">
        <v>90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Tonghopdiem</vt:lpstr>
      <vt:lpstr>Diemthuchanhcacbuoi</vt:lpstr>
      <vt:lpstr>Diembaitaplon</vt:lpstr>
      <vt:lpstr>Diemlithuyet</vt:lpstr>
      <vt:lpstr>Cacbangthamchieu&amp;thongke</vt:lpstr>
      <vt:lpstr>Sinhviendiem&lt;7</vt:lpstr>
      <vt:lpstr>Sinhviendiem&gt;7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VTOS</cp:lastModifiedBy>
  <dcterms:created xsi:type="dcterms:W3CDTF">2026-09-15T06:59:00Z</dcterms:created>
  <dcterms:modified xsi:type="dcterms:W3CDTF">2026-09-23T20:06:07Z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0856AAE6628A45A2ADACD1BCD7C481C0_12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